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irtex" sheetId="2" state="visible" r:id="rId4"/>
    <sheet name="Beaumont" sheetId="3" state="visible" r:id="rId5"/>
    <sheet name="Downtown Houston" sheetId="4" state="visible" r:id="rId6"/>
    <sheet name="Ella" sheetId="5" state="visible" r:id="rId7"/>
    <sheet name="Katy" sheetId="6" state="visible" r:id="rId8"/>
    <sheet name="Mission Bend" sheetId="7" state="visible" r:id="rId9"/>
    <sheet name="Missouri City" sheetId="8" state="visible" r:id="rId10"/>
    <sheet name="Nederland" sheetId="9" state="visible" r:id="rId11"/>
    <sheet name="Pasadena" sheetId="10" state="visible" r:id="rId12"/>
    <sheet name="Rosenberg" sheetId="11" state="visible" r:id="rId13"/>
    <sheet name="Shepherd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<sst xmlns="http://schemas.openxmlformats.org/spreadsheetml/2006/main" count="585" uniqueCount="94">
  <si>
    <t xml:space="preserve">Revel → R365 Reconciliation Workbook</t>
  </si>
  <si>
    <t xml:space="preserve">Daily Sales Summary (DSS) — Journal Entry Verification</t>
  </si>
  <si>
    <t xml:space="preserve">HOW TO USE</t>
  </si>
  <si>
    <t xml:space="preserve">1. Select a location tab</t>
  </si>
  <si>
    <t xml:space="preserve">Each of the 11 tabs corresponds to one LCF establishment.</t>
  </si>
  <si>
    <t xml:space="preserve">2. Enter the date</t>
  </si>
  <si>
    <t xml:space="preserve">Type the report date in cell B6 of each tab (yellow cell).</t>
  </si>
  <si>
    <t xml:space="preserve">3. Enter Revel values</t>
  </si>
  <si>
    <t xml:space="preserve">Paste or type the values from the Revel Operations Report into the Revel column (column D).</t>
  </si>
  <si>
    <t xml:space="preserve">4. Enter R365 values</t>
  </si>
  <si>
    <t xml:space="preserve">Paste or type the values from the R365 Journal Entry tab into the R365 column (column E).</t>
  </si>
  <si>
    <t xml:space="preserve">5. Check variance</t>
  </si>
  <si>
    <t xml:space="preserve">Column F auto-calculates R365 minus Revel. Green = match, Red = difference.</t>
  </si>
  <si>
    <t xml:space="preserve">6. Confirm reconciliation</t>
  </si>
  <si>
    <t xml:space="preserve">When all variances are zero, mark the Status cell (B8) as Confirmed.</t>
  </si>
  <si>
    <t xml:space="preserve">FIELD MAPPING</t>
  </si>
  <si>
    <t xml:space="preserve">R365 Account</t>
  </si>
  <si>
    <t xml:space="preserve">Revel Source</t>
  </si>
  <si>
    <t xml:space="preserve">4000-01 - Food Sales</t>
  </si>
  <si>
    <t xml:space="preserve">product_mix_data → 1. Food → price (Gross Sales)</t>
  </si>
  <si>
    <t xml:space="preserve">4000-02 - Beverage Sales</t>
  </si>
  <si>
    <t xml:space="preserve">product_mix_data → 2. Beverage → price (Gross Sales)</t>
  </si>
  <si>
    <t xml:space="preserve">4000-08 - Food Delivery Sales</t>
  </si>
  <si>
    <t xml:space="preserve">product_mix_data → 5. Delivery-Food → price (Gross Sales)</t>
  </si>
  <si>
    <t xml:space="preserve">2240-000 - Sales Tax Payable</t>
  </si>
  <si>
    <t xml:space="preserve">tax_data → totals_row → tax</t>
  </si>
  <si>
    <t xml:space="preserve">70250 - Credit Card Fees</t>
  </si>
  <si>
    <t xml:space="preserve">sales_data → adj_total</t>
  </si>
  <si>
    <t xml:space="preserve">2301 - Employee Tips Payable (editable)</t>
  </si>
  <si>
    <t xml:space="preserve">1200-000 - A/R Credit Cards Receivable</t>
  </si>
  <si>
    <t xml:space="preserve">credit_total + credit_tips_total − credit_refunds</t>
  </si>
  <si>
    <t xml:space="preserve">1245-12 - A/R-UberEats</t>
  </si>
  <si>
    <t xml:space="preserve">custom_payments → Uber Eats → total</t>
  </si>
  <si>
    <t xml:space="preserve">1245-03 - A/R-DoorDash</t>
  </si>
  <si>
    <t xml:space="preserve">custom_payments → Door Dash + DD Marketplace → total</t>
  </si>
  <si>
    <t xml:space="preserve">1245-08 - A/R-GrubHub</t>
  </si>
  <si>
    <t xml:space="preserve">custom_payments → Grub Hub → total</t>
  </si>
  <si>
    <t xml:space="preserve">4500-02 - Comps</t>
  </si>
  <si>
    <t xml:space="preserve">discounts_data → Manager 100% [UNCONFIRMED]</t>
  </si>
  <si>
    <t xml:space="preserve">5000-17 - Employee Discount</t>
  </si>
  <si>
    <t xml:space="preserve">discounts_data → Employee $9.79 Off [UNCONFIRMED]</t>
  </si>
  <si>
    <t xml:space="preserve">4500-01 - Discounts</t>
  </si>
  <si>
    <t xml:space="preserve">discounts_data → Military/Police/Senior/Standard [UNCONFIRMED]</t>
  </si>
  <si>
    <t xml:space="preserve">4500-03 - Promotions</t>
  </si>
  <si>
    <t xml:space="preserve">discounts_data → Loyalty meal promos [UNCONFIRMED]</t>
  </si>
  <si>
    <t xml:space="preserve">1255 - Undeposited Funds</t>
  </si>
  <si>
    <t xml:space="preserve">READ-ONLY — auto-filled by R365</t>
  </si>
  <si>
    <t xml:space="preserve">8000-06 - Cash Over/Short</t>
  </si>
  <si>
    <t xml:space="preserve">2301 - Employee Tips Payable (2nd row)</t>
  </si>
  <si>
    <t xml:space="preserve">COLOUR LEGEND</t>
  </si>
  <si>
    <t xml:space="preserve">Credit fields (sales, tax, tips — R365 Credit column)</t>
  </si>
  <si>
    <t xml:space="preserve">Debit fields (AR, marketplace, discounts — R365 Debit column)</t>
  </si>
  <si>
    <t xml:space="preserve">Discount fields — mapping UNCONFIRMED, please verify with team</t>
  </si>
  <si>
    <t xml:space="preserve">Input cells — enter values here</t>
  </si>
  <si>
    <t xml:space="preserve">Daily Sales Reconciliation — LCF Airtex  (Est. 32)</t>
  </si>
  <si>
    <t xml:space="preserve">Report Date:</t>
  </si>
  <si>
    <t xml:space="preserve">Status:</t>
  </si>
  <si>
    <t xml:space="preserve">Pending</t>
  </si>
  <si>
    <t xml:space="preserve">Revel Source Field</t>
  </si>
  <si>
    <t xml:space="preserve">Revel Value ($)</t>
  </si>
  <si>
    <t xml:space="preserve">R365 Value ($)</t>
  </si>
  <si>
    <t xml:space="preserve">Variance ($)</t>
  </si>
  <si>
    <t xml:space="preserve">Notes</t>
  </si>
  <si>
    <t xml:space="preserve">CREDITS  —  Sales &amp; Tax</t>
  </si>
  <si>
    <t xml:space="preserve">product_mix_data[1. Food].price</t>
  </si>
  <si>
    <t xml:space="preserve">product_mix_data[2. Beverage].price</t>
  </si>
  <si>
    <t xml:space="preserve">product_mix_data[5. Delivery-Food].price</t>
  </si>
  <si>
    <t xml:space="preserve">tax_data[totals_row].tax</t>
  </si>
  <si>
    <t xml:space="preserve">sales_data.adj_total</t>
  </si>
  <si>
    <t xml:space="preserve">Total Credits</t>
  </si>
  <si>
    <t xml:space="preserve">DEBITS  —  AR, Marketplace &amp; Discounts</t>
  </si>
  <si>
    <t xml:space="preserve">2301 - Employee Tips Payable</t>
  </si>
  <si>
    <t xml:space="preserve">credit_total + credit_tips - credit_refunds</t>
  </si>
  <si>
    <t xml:space="preserve">custom_payments[Uber Eats].total</t>
  </si>
  <si>
    <t xml:space="preserve">custom_payments[Door Dash + DD Marketplace].total</t>
  </si>
  <si>
    <t xml:space="preserve">custom_payments[Grub Hub].total</t>
  </si>
  <si>
    <t xml:space="preserve">discounts_data[Manager 100%]</t>
  </si>
  <si>
    <t xml:space="preserve">[UNCONFIRMED mapping — verify discount reason with team]</t>
  </si>
  <si>
    <t xml:space="preserve">discounts_data[Employee $9.79 Off]</t>
  </si>
  <si>
    <t xml:space="preserve">discounts_data[Military/Police/Senior/etc]</t>
  </si>
  <si>
    <t xml:space="preserve">discounts_data[Loyalty meal promos]</t>
  </si>
  <si>
    <t xml:space="preserve">Total Debits</t>
  </si>
  <si>
    <t xml:space="preserve">Net (Debits − Credits)</t>
  </si>
  <si>
    <t xml:space="preserve">ℹ  Read-only rows (auto-filled by R365, not entered manually): 1255 - Undeposited Funds  |  8000-06 - Cash Over/Short  |  2301 - Employee Tips Payable (2nd row)</t>
  </si>
  <si>
    <t xml:space="preserve">Daily Sales Reconciliation — LCF Beaumont  (Est. 14)</t>
  </si>
  <si>
    <t xml:space="preserve">Daily Sales Reconciliation — LCF Downtown Houston  (Est. 48)</t>
  </si>
  <si>
    <t xml:space="preserve">Daily Sales Reconciliation — LCF Ella  (Est. 7)</t>
  </si>
  <si>
    <t xml:space="preserve">Daily Sales Reconciliation — LCF Katy  (Est. 6)</t>
  </si>
  <si>
    <t xml:space="preserve">Daily Sales Reconciliation — LCF Mission Bend  (Est. 25)</t>
  </si>
  <si>
    <t xml:space="preserve">Daily Sales Reconciliation — LCF Missouri City  (Est. 36)</t>
  </si>
  <si>
    <t xml:space="preserve">Daily Sales Reconciliation — LCF Nederland  (Est. 26)</t>
  </si>
  <si>
    <t xml:space="preserve">Daily Sales Reconciliation — LCF Pasadena  (Est. 20)</t>
  </si>
  <si>
    <t xml:space="preserve">Daily Sales Reconciliation — LCF Rosenberg  (Est. 40)</t>
  </si>
  <si>
    <t xml:space="preserve">Daily Sales Reconciliation — LCF Shepherd  (Est. 15)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</si>
</sst>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0</v>
      </c>
      <c r="C2" s="1"/>
    </row>
    <row r="3" customFormat="false" ht="15.75" hidden="false" customHeight="true" outlineLevel="0" collapsed="false">
      <c r="B3" s="2" t="s">
        <v>1</v>
      </c>
      <c r="C3" s="2"/>
    </row>
    <row r="4" customFormat="false" ht="9.75" hidden="false" customHeight="true" outlineLevel="0" collapsed="false"/>
    <row r="5" customFormat="false" ht="18" hidden="false" customHeight="true" outlineLevel="0" collapsed="false">
      <c r="B5" s="3" t="s">
        <v>2</v>
      </c>
      <c r="C5" s="3"/>
    </row>
    <row r="6" customFormat="false" ht="15" hidden="false" customHeight="true" outlineLevel="0" collapsed="false">
      <c r="B6" s="4" t="s">
        <v>3</v>
      </c>
      <c r="C6" s="5" t="s">
        <v>4</v>
      </c>
    </row>
    <row r="7" customFormat="false" ht="15" hidden="false" customHeight="true" outlineLevel="0" collapsed="false">
      <c r="B7" s="6" t="s">
        <v>5</v>
      </c>
      <c r="C7" s="7" t="s">
        <v>6</v>
      </c>
    </row>
    <row r="8" customFormat="false" ht="15" hidden="false" customHeight="true" outlineLevel="0" collapsed="false">
      <c r="B8" s="4" t="s">
        <v>7</v>
      </c>
      <c r="C8" s="5" t="s">
        <v>8</v>
      </c>
    </row>
    <row r="9" customFormat="false" ht="15" hidden="false" customHeight="true" outlineLevel="0" collapsed="false">
      <c r="B9" s="6" t="s">
        <v>9</v>
      </c>
      <c r="C9" s="7" t="s">
        <v>10</v>
      </c>
    </row>
    <row r="10" customFormat="false" ht="15" hidden="false" customHeight="true" outlineLevel="0" collapsed="false">
      <c r="B10" s="4" t="s">
        <v>11</v>
      </c>
      <c r="C10" s="5" t="s">
        <v>12</v>
      </c>
    </row>
    <row r="11" customFormat="false" ht="15" hidden="false" customHeight="true" outlineLevel="0" collapsed="false">
      <c r="B11" s="6" t="s">
        <v>13</v>
      </c>
      <c r="C11" s="7" t="s">
        <v>14</v>
      </c>
    </row>
    <row r="12" customFormat="false" ht="7.5" hidden="false" customHeight="true" outlineLevel="0" collapsed="false"/>
    <row r="13" customFormat="false" ht="18" hidden="false" customHeight="true" outlineLevel="0" collapsed="false">
      <c r="B13" s="3" t="s">
        <v>15</v>
      </c>
      <c r="C13" s="3"/>
    </row>
    <row r="14" customFormat="false" ht="15" hidden="false" customHeight="true" outlineLevel="0" collapsed="false">
      <c r="B14" s="8" t="s">
        <v>16</v>
      </c>
      <c r="C14" s="8" t="s">
        <v>17</v>
      </c>
    </row>
    <row r="15" customFormat="false" ht="15" hidden="false" customHeight="true" outlineLevel="0" collapsed="false">
      <c r="B15" s="7" t="s">
        <v>18</v>
      </c>
      <c r="C15" s="7" t="s">
        <v>19</v>
      </c>
    </row>
    <row r="16" customFormat="false" ht="15" hidden="false" customHeight="true" outlineLevel="0" collapsed="false">
      <c r="B16" s="5" t="s">
        <v>20</v>
      </c>
      <c r="C16" s="5" t="s">
        <v>21</v>
      </c>
    </row>
    <row r="17" customFormat="false" ht="15" hidden="false" customHeight="true" outlineLevel="0" collapsed="false">
      <c r="B17" s="7" t="s">
        <v>22</v>
      </c>
      <c r="C17" s="7" t="s">
        <v>23</v>
      </c>
    </row>
    <row r="18" customFormat="false" ht="15" hidden="false" customHeight="true" outlineLevel="0" collapsed="false">
      <c r="B18" s="5" t="s">
        <v>24</v>
      </c>
      <c r="C18" s="5" t="s">
        <v>25</v>
      </c>
    </row>
    <row r="19" customFormat="false" ht="15" hidden="false" customHeight="true" outlineLevel="0" collapsed="false">
      <c r="B19" s="7" t="s">
        <v>26</v>
      </c>
      <c r="C19" s="7" t="s">
        <v>27</v>
      </c>
    </row>
    <row r="20" customFormat="false" ht="15" hidden="false" customHeight="true" outlineLevel="0" collapsed="false">
      <c r="B20" s="5" t="s">
        <v>28</v>
      </c>
      <c r="C20" s="5" t="s">
        <v>27</v>
      </c>
    </row>
    <row r="21" customFormat="false" ht="15" hidden="false" customHeight="true" outlineLevel="0" collapsed="false">
      <c r="B21" s="7" t="s">
        <v>29</v>
      </c>
      <c r="C21" s="7" t="s">
        <v>30</v>
      </c>
    </row>
    <row r="22" customFormat="false" ht="15" hidden="false" customHeight="true" outlineLevel="0" collapsed="false">
      <c r="B22" s="5" t="s">
        <v>31</v>
      </c>
      <c r="C22" s="5" t="s">
        <v>32</v>
      </c>
    </row>
    <row r="23" customFormat="false" ht="15" hidden="false" customHeight="true" outlineLevel="0" collapsed="false">
      <c r="B23" s="7" t="s">
        <v>33</v>
      </c>
      <c r="C23" s="7" t="s">
        <v>34</v>
      </c>
    </row>
    <row r="24" customFormat="false" ht="15" hidden="false" customHeight="true" outlineLevel="0" collapsed="false">
      <c r="B24" s="5" t="s">
        <v>35</v>
      </c>
      <c r="C24" s="5" t="s">
        <v>36</v>
      </c>
    </row>
    <row r="25" customFormat="false" ht="15" hidden="false" customHeight="true" outlineLevel="0" collapsed="false">
      <c r="B25" s="9" t="s">
        <v>37</v>
      </c>
      <c r="C25" s="9" t="s">
        <v>38</v>
      </c>
    </row>
    <row r="26" customFormat="false" ht="15" hidden="false" customHeight="true" outlineLevel="0" collapsed="false">
      <c r="B26" s="9" t="s">
        <v>39</v>
      </c>
      <c r="C26" s="9" t="s">
        <v>40</v>
      </c>
    </row>
    <row r="27" customFormat="false" ht="15" hidden="false" customHeight="true" outlineLevel="0" collapsed="false">
      <c r="B27" s="9" t="s">
        <v>41</v>
      </c>
      <c r="C27" s="9" t="s">
        <v>42</v>
      </c>
    </row>
    <row r="28" customFormat="false" ht="15" hidden="false" customHeight="true" outlineLevel="0" collapsed="false">
      <c r="B28" s="9" t="s">
        <v>43</v>
      </c>
      <c r="C28" s="9" t="s">
        <v>44</v>
      </c>
    </row>
    <row r="29" customFormat="false" ht="15" hidden="false" customHeight="true" outlineLevel="0" collapsed="false">
      <c r="B29" s="10" t="s">
        <v>45</v>
      </c>
      <c r="C29" s="10" t="s">
        <v>46</v>
      </c>
    </row>
    <row r="30" customFormat="false" ht="15" hidden="false" customHeight="true" outlineLevel="0" collapsed="false">
      <c r="B30" s="11" t="s">
        <v>47</v>
      </c>
      <c r="C30" s="11" t="s">
        <v>46</v>
      </c>
    </row>
    <row r="31" customFormat="false" ht="15" hidden="false" customHeight="true" outlineLevel="0" collapsed="false">
      <c r="B31" s="10" t="s">
        <v>48</v>
      </c>
      <c r="C31" s="10" t="s">
        <v>46</v>
      </c>
    </row>
    <row r="33" customFormat="false" ht="18" hidden="false" customHeight="true" outlineLevel="0" collapsed="false">
      <c r="B33" s="3" t="s">
        <v>49</v>
      </c>
      <c r="C33" s="3"/>
    </row>
    <row r="34" customFormat="false" ht="15" hidden="false" customHeight="true" outlineLevel="0" collapsed="false">
      <c r="B34" s="12"/>
      <c r="C34" s="7" t="s">
        <v>50</v>
      </c>
    </row>
    <row r="35" customFormat="false" ht="15" hidden="false" customHeight="true" outlineLevel="0" collapsed="false">
      <c r="B35" s="13"/>
      <c r="C35" s="7" t="s">
        <v>51</v>
      </c>
    </row>
    <row r="36" customFormat="false" ht="15" hidden="false" customHeight="true" outlineLevel="0" collapsed="false">
      <c r="B36" s="14"/>
      <c r="C36" s="7" t="s">
        <v>52</v>
      </c>
    </row>
    <row r="37" customFormat="false" ht="15" hidden="false" customHeight="true" outlineLevel="0" collapsed="false">
      <c r="B37" s="15"/>
      <c r="C37" s="7" t="s">
        <v>53</v>
      </c>
    </row>
  </sheetData>
  <mergeCells count="5">
    <mergeCell ref="B2:C2"/>
    <mergeCell ref="B3:C3"/>
    <mergeCell ref="B5:C5"/>
    <mergeCell ref="B13:C13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54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84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85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86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87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88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89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90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91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92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6" hidden="false" customHeight="true" outlineLevel="0" collapsed="false"/>
    <row r="2" customFormat="false" ht="24" hidden="false" customHeight="true" outlineLevel="0" collapsed="false">
      <c r="B2" s="16" t="s">
        <v>93</v>
      </c>
      <c r="C2" s="16"/>
      <c r="D2" s="16"/>
      <c r="E2" s="16"/>
      <c r="F2" s="16"/>
      <c r="G2" s="16"/>
    </row>
    <row r="3" customFormat="false" ht="6" hidden="false" customHeight="true" outlineLevel="0" collapsed="false"/>
    <row r="4" customFormat="false" ht="18" hidden="false" customHeight="true" outlineLevel="0" collapsed="false">
      <c r="B4" s="17" t="s">
        <v>55</v>
      </c>
      <c r="C4" s="18"/>
      <c r="E4" s="17" t="s">
        <v>56</v>
      </c>
      <c r="F4" s="19" t="s">
        <v>57</v>
      </c>
    </row>
    <row r="5" customFormat="false" ht="6" hidden="false" customHeight="true" outlineLevel="0" collapsed="false"/>
    <row r="6" customFormat="false" ht="31.5" hidden="false" customHeight="true" outlineLevel="0" collapsed="false">
      <c r="A6" s="20"/>
      <c r="B6" s="20" t="s">
        <v>16</v>
      </c>
      <c r="C6" s="20" t="s">
        <v>58</v>
      </c>
      <c r="D6" s="20" t="s">
        <v>59</v>
      </c>
      <c r="E6" s="20" t="s">
        <v>60</v>
      </c>
      <c r="F6" s="20" t="s">
        <v>61</v>
      </c>
      <c r="G6" s="20" t="s">
        <v>62</v>
      </c>
    </row>
    <row r="7" customFormat="false" ht="15.75" hidden="false" customHeight="true" outlineLevel="0" collapsed="false">
      <c r="B7" s="21" t="s">
        <v>63</v>
      </c>
      <c r="C7" s="21"/>
      <c r="D7" s="21"/>
      <c r="E7" s="21"/>
      <c r="F7" s="21"/>
      <c r="G7" s="21"/>
    </row>
    <row r="8" customFormat="false" ht="15.75" hidden="false" customHeight="true" outlineLevel="0" collapsed="false">
      <c r="A8" s="22"/>
      <c r="B8" s="23" t="s">
        <v>18</v>
      </c>
      <c r="C8" s="24" t="s">
        <v>64</v>
      </c>
      <c r="D8" s="25" t="n">
        <v>0</v>
      </c>
      <c r="E8" s="25" t="n">
        <v>0</v>
      </c>
      <c r="F8" s="26" t="n">
        <f aca="false">E8-D8</f>
        <v>0</v>
      </c>
      <c r="G8" s="10"/>
    </row>
    <row r="9" customFormat="false" ht="15.75" hidden="false" customHeight="true" outlineLevel="0" collapsed="false">
      <c r="A9" s="22"/>
      <c r="B9" s="23" t="s">
        <v>20</v>
      </c>
      <c r="C9" s="24" t="s">
        <v>65</v>
      </c>
      <c r="D9" s="25" t="n">
        <v>0</v>
      </c>
      <c r="E9" s="25" t="n">
        <v>0</v>
      </c>
      <c r="F9" s="26" t="n">
        <f aca="false">E9-D9</f>
        <v>0</v>
      </c>
      <c r="G9" s="10"/>
    </row>
    <row r="10" customFormat="false" ht="15.75" hidden="false" customHeight="true" outlineLevel="0" collapsed="false">
      <c r="A10" s="22"/>
      <c r="B10" s="23" t="s">
        <v>22</v>
      </c>
      <c r="C10" s="24" t="s">
        <v>66</v>
      </c>
      <c r="D10" s="25" t="n">
        <v>0</v>
      </c>
      <c r="E10" s="25" t="n">
        <v>0</v>
      </c>
      <c r="F10" s="26" t="n">
        <f aca="false">E10-D10</f>
        <v>0</v>
      </c>
      <c r="G10" s="10"/>
    </row>
    <row r="11" customFormat="false" ht="15.75" hidden="false" customHeight="true" outlineLevel="0" collapsed="false">
      <c r="A11" s="22"/>
      <c r="B11" s="23" t="s">
        <v>24</v>
      </c>
      <c r="C11" s="24" t="s">
        <v>67</v>
      </c>
      <c r="D11" s="25" t="n">
        <v>0</v>
      </c>
      <c r="E11" s="25" t="n">
        <v>0</v>
      </c>
      <c r="F11" s="26" t="n">
        <f aca="false">E11-D11</f>
        <v>0</v>
      </c>
      <c r="G11" s="10"/>
    </row>
    <row r="12" customFormat="false" ht="15.75" hidden="false" customHeight="true" outlineLevel="0" collapsed="false">
      <c r="A12" s="22"/>
      <c r="B12" s="23" t="s">
        <v>26</v>
      </c>
      <c r="C12" s="24" t="s">
        <v>68</v>
      </c>
      <c r="D12" s="25" t="n">
        <v>0</v>
      </c>
      <c r="E12" s="25" t="n">
        <v>0</v>
      </c>
      <c r="F12" s="26" t="n">
        <f aca="false">E12-D12</f>
        <v>0</v>
      </c>
      <c r="G12" s="10"/>
    </row>
    <row r="13" customFormat="false" ht="15.75" hidden="false" customHeight="true" outlineLevel="0" collapsed="false">
      <c r="B13" s="27" t="s">
        <v>69</v>
      </c>
      <c r="C13" s="27"/>
      <c r="D13" s="28" t="n">
        <f aca="false">SUM(D8:D12)</f>
        <v>0</v>
      </c>
      <c r="E13" s="28" t="n">
        <f aca="false">SUM(E8:E12)</f>
        <v>0</v>
      </c>
      <c r="F13" s="28" t="n">
        <f aca="false">E13-D13</f>
        <v>0</v>
      </c>
      <c r="G13" s="29"/>
    </row>
    <row r="15" customFormat="false" ht="15.75" hidden="false" customHeight="true" outlineLevel="0" collapsed="false">
      <c r="B15" s="21" t="s">
        <v>70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30"/>
      <c r="B16" s="31" t="s">
        <v>71</v>
      </c>
      <c r="C16" s="32" t="s">
        <v>68</v>
      </c>
      <c r="D16" s="25" t="n">
        <v>0</v>
      </c>
      <c r="E16" s="25" t="n">
        <v>0</v>
      </c>
      <c r="F16" s="26" t="n">
        <f aca="false">E16-D16</f>
        <v>0</v>
      </c>
      <c r="G16" s="10"/>
    </row>
    <row r="17" customFormat="false" ht="15.75" hidden="false" customHeight="true" outlineLevel="0" collapsed="false">
      <c r="A17" s="30"/>
      <c r="B17" s="31" t="s">
        <v>29</v>
      </c>
      <c r="C17" s="32" t="s">
        <v>72</v>
      </c>
      <c r="D17" s="25" t="n">
        <v>0</v>
      </c>
      <c r="E17" s="25" t="n">
        <v>0</v>
      </c>
      <c r="F17" s="26" t="n">
        <f aca="false">E17-D17</f>
        <v>0</v>
      </c>
      <c r="G17" s="10"/>
    </row>
    <row r="18" customFormat="false" ht="15.75" hidden="false" customHeight="true" outlineLevel="0" collapsed="false">
      <c r="A18" s="30"/>
      <c r="B18" s="31" t="s">
        <v>31</v>
      </c>
      <c r="C18" s="32" t="s">
        <v>73</v>
      </c>
      <c r="D18" s="25" t="n">
        <v>0</v>
      </c>
      <c r="E18" s="25" t="n">
        <v>0</v>
      </c>
      <c r="F18" s="26" t="n">
        <f aca="false">E18-D18</f>
        <v>0</v>
      </c>
      <c r="G18" s="10"/>
    </row>
    <row r="19" customFormat="false" ht="15.75" hidden="false" customHeight="true" outlineLevel="0" collapsed="false">
      <c r="A19" s="30"/>
      <c r="B19" s="31" t="s">
        <v>33</v>
      </c>
      <c r="C19" s="32" t="s">
        <v>74</v>
      </c>
      <c r="D19" s="25" t="n">
        <v>0</v>
      </c>
      <c r="E19" s="25" t="n">
        <v>0</v>
      </c>
      <c r="F19" s="26" t="n">
        <f aca="false">E19-D19</f>
        <v>0</v>
      </c>
      <c r="G19" s="10"/>
    </row>
    <row r="20" customFormat="false" ht="15.75" hidden="false" customHeight="true" outlineLevel="0" collapsed="false">
      <c r="A20" s="30"/>
      <c r="B20" s="31" t="s">
        <v>35</v>
      </c>
      <c r="C20" s="32" t="s">
        <v>75</v>
      </c>
      <c r="D20" s="25" t="n">
        <v>0</v>
      </c>
      <c r="E20" s="25" t="n">
        <v>0</v>
      </c>
      <c r="F20" s="26" t="n">
        <f aca="false">E20-D20</f>
        <v>0</v>
      </c>
      <c r="G20" s="10"/>
    </row>
    <row r="21" customFormat="false" ht="15.75" hidden="false" customHeight="true" outlineLevel="0" collapsed="false">
      <c r="A21" s="33"/>
      <c r="B21" s="9" t="s">
        <v>37</v>
      </c>
      <c r="C21" s="34" t="s">
        <v>76</v>
      </c>
      <c r="D21" s="25" t="n">
        <v>0</v>
      </c>
      <c r="E21" s="25" t="n">
        <v>0</v>
      </c>
      <c r="F21" s="26" t="n">
        <f aca="false">E21-D21</f>
        <v>0</v>
      </c>
      <c r="G21" s="34" t="s">
        <v>77</v>
      </c>
    </row>
    <row r="22" customFormat="false" ht="15.75" hidden="false" customHeight="true" outlineLevel="0" collapsed="false">
      <c r="A22" s="33"/>
      <c r="B22" s="9" t="s">
        <v>39</v>
      </c>
      <c r="C22" s="34" t="s">
        <v>78</v>
      </c>
      <c r="D22" s="25" t="n">
        <v>0</v>
      </c>
      <c r="E22" s="25" t="n">
        <v>0</v>
      </c>
      <c r="F22" s="26" t="n">
        <f aca="false">E22-D22</f>
        <v>0</v>
      </c>
      <c r="G22" s="34" t="s">
        <v>77</v>
      </c>
    </row>
    <row r="23" customFormat="false" ht="15.75" hidden="false" customHeight="true" outlineLevel="0" collapsed="false">
      <c r="A23" s="33"/>
      <c r="B23" s="9" t="s">
        <v>41</v>
      </c>
      <c r="C23" s="34" t="s">
        <v>79</v>
      </c>
      <c r="D23" s="25" t="n">
        <v>0</v>
      </c>
      <c r="E23" s="25" t="n">
        <v>0</v>
      </c>
      <c r="F23" s="26" t="n">
        <f aca="false">E23-D23</f>
        <v>0</v>
      </c>
      <c r="G23" s="34" t="s">
        <v>77</v>
      </c>
    </row>
    <row r="24" customFormat="false" ht="15.75" hidden="false" customHeight="true" outlineLevel="0" collapsed="false">
      <c r="A24" s="33"/>
      <c r="B24" s="9" t="s">
        <v>43</v>
      </c>
      <c r="C24" s="34" t="s">
        <v>80</v>
      </c>
      <c r="D24" s="25" t="n">
        <v>0</v>
      </c>
      <c r="E24" s="25" t="n">
        <v>0</v>
      </c>
      <c r="F24" s="26" t="n">
        <f aca="false">E24-D24</f>
        <v>0</v>
      </c>
      <c r="G24" s="34" t="s">
        <v>77</v>
      </c>
    </row>
    <row r="25" customFormat="false" ht="15.75" hidden="false" customHeight="true" outlineLevel="0" collapsed="false">
      <c r="B25" s="35" t="s">
        <v>81</v>
      </c>
      <c r="C25" s="35"/>
      <c r="D25" s="36" t="n">
        <f aca="false">SUM(D16:D24)</f>
        <v>0</v>
      </c>
      <c r="E25" s="36" t="n">
        <f aca="false">SUM(E16:E24)</f>
        <v>0</v>
      </c>
      <c r="F25" s="36" t="n">
        <f aca="false">E25-D25</f>
        <v>0</v>
      </c>
      <c r="G25" s="37"/>
    </row>
    <row r="27" customFormat="false" ht="18" hidden="false" customHeight="true" outlineLevel="0" collapsed="false">
      <c r="B27" s="38" t="s">
        <v>82</v>
      </c>
      <c r="C27" s="38"/>
      <c r="D27" s="39" t="n">
        <f aca="false">D25-D13</f>
        <v>0</v>
      </c>
      <c r="E27" s="39" t="n">
        <f aca="false">E25-E13</f>
        <v>0</v>
      </c>
      <c r="F27" s="39" t="n">
        <f aca="false">F25-F13</f>
        <v>0</v>
      </c>
      <c r="G27" s="40"/>
    </row>
    <row r="29" customFormat="false" ht="13.5" hidden="false" customHeight="true" outlineLevel="0" collapsed="false">
      <c r="B29" s="41" t="s">
        <v>83</v>
      </c>
      <c r="C29" s="41"/>
      <c r="D29" s="41"/>
      <c r="E29" s="41"/>
      <c r="F29" s="41"/>
      <c r="G29" s="41"/>
    </row>
  </sheetData>
  <mergeCells count="7">
    <mergeCell ref="B2:G2"/>
    <mergeCell ref="B7:G7"/>
    <mergeCell ref="B13:C13"/>
    <mergeCell ref="B15:G15"/>
    <mergeCell ref="B25:C25"/>
    <mergeCell ref="B27:C27"/>
    <mergeCell ref="B29:G29"/>
  </mergeCells>
  <conditionalFormatting sqref="F7:F2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2026-06-07T09:14:10Z</dcterms:created>
  <dc:creator>openpyxl</dc:creator>
  <dc:description/>
  <dc:language>en-US</dc:language>
  <cp:lastModifiedBy/>
  <dcterms:modified xsi:type="dcterms:W3CDTF">2026-06-07T09:14:10Z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